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giao.lang\Desktop\.code.truong.lang\26.SU.SWT301.ENHANCED\Resources\Q3\"/>
    </mc:Choice>
  </mc:AlternateContent>
  <bookViews>
    <workbookView xWindow="0" yWindow="0" windowWidth="23040" windowHeight="10512"/>
  </bookViews>
  <sheets>
    <sheet name="Q3" sheetId="3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3" l="1"/>
  <c r="F2" i="3"/>
  <c r="D3" i="3"/>
  <c r="D2" i="3"/>
  <c r="F4" i="3" l="1"/>
  <c r="D4" i="3" l="1"/>
</calcChain>
</file>

<file path=xl/comments1.xml><?xml version="1.0" encoding="utf-8"?>
<comments xmlns="http://schemas.openxmlformats.org/spreadsheetml/2006/main">
  <authors>
    <author/>
  </authors>
  <commentList>
    <comment ref="G5" authorId="0" shapeId="0">
      <text>
        <r>
          <rPr>
            <b/>
            <sz val="8"/>
            <color indexed="8"/>
            <rFont val="Times New Roman"/>
            <family val="1"/>
          </rPr>
          <t xml:space="preserve">Pass
Fail
Untested
N/A
</t>
        </r>
      </text>
    </comment>
  </commentList>
</comments>
</file>

<file path=xl/sharedStrings.xml><?xml version="1.0" encoding="utf-8"?>
<sst xmlns="http://schemas.openxmlformats.org/spreadsheetml/2006/main" count="62" uniqueCount="58">
  <si>
    <t>Module Code</t>
  </si>
  <si>
    <t>Tester</t>
  </si>
  <si>
    <t>ID</t>
  </si>
  <si>
    <t>Test Case Description</t>
  </si>
  <si>
    <t>Pre -Condition</t>
  </si>
  <si>
    <t>Expected Output</t>
  </si>
  <si>
    <t>Note</t>
  </si>
  <si>
    <t>TC001</t>
  </si>
  <si>
    <t>Test case</t>
  </si>
  <si>
    <t>Test date
(dd/mm/yyyy)</t>
  </si>
  <si>
    <t>Status</t>
  </si>
  <si>
    <t>Not Run</t>
  </si>
  <si>
    <t>Test Data</t>
  </si>
  <si>
    <t>Student Management</t>
  </si>
  <si>
    <t>Hoàng Ngọc Trinh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</si>
  <si>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</si>
  <si>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</si>
  <si>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</si>
  <si>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</si>
  <si>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</si>
  <si>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</si>
  <si>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</si>
  <si>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</si>
  <si>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</si>
  <si>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</si>
  <si>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</si>
  <si>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</si>
  <si>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</si>
  <si>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</si>
  <si>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</si>
  <si>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</si>
  <si>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</si>
  <si>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</si>
  <si>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TC020</t>
  </si>
  <si>
    <t>STT test case</t>
  </si>
  <si>
    <t>Mô tả ngắn mục tiêu cần test, ví dụ test required fields, test invalid student id, …</t>
  </si>
  <si>
    <t>Điều kiện tiên quyết để test case xảy ra: ví dụ mở sẵn màn hình, login đúng role…</t>
  </si>
  <si>
    <t>Test Case Procedure / Steps</t>
  </si>
  <si>
    <t>+ Các bước thực thi trên màn hình, phải ghi số thứ tự 1. 2. 3. và phải xuống hàng
+ Ghi bấm gì, nhập gì, chọn gì, click gì… kèm data hoặc để data ở cột kế bên</t>
  </si>
  <si>
    <t>- Data, dữ liệu đưa vào test case
- Ghi cụ thể giá trị của từng ô nhập
  yob = 2007
  [x] I agree</t>
  </si>
  <si>
    <t>Với mỗi tình huống test case, tình huống data đưa vào màn hình và click nút bấm, thì app hay màn hình "chửi - cảnh báo" câu gì, hoặc tính toán ra giá trị gì, in ra cái gì, export ra cái gì, xử lí ra kết quả gì, thì ghi rõ ở đây</t>
  </si>
  <si>
    <t>NGÀY THI
2026, Aug-01</t>
  </si>
  <si>
    <t>Ghi chú kĩ thuật thiết kế test case, hoặc 'Happy case - test thành công', Required field, Exception case, …, mang mục tiêu phân loại test case</t>
  </si>
  <si>
    <t>PASSED | FAILED</t>
  </si>
  <si>
    <t>Test all required fields</t>
  </si>
  <si>
    <t>Student Management Form is open, and is available to input</t>
  </si>
  <si>
    <t>all fields are blank</t>
  </si>
  <si>
    <t>1. Leave all fields ID, Name, Email blank
2. Hit [ADD] button</t>
  </si>
  <si>
    <t>3 error messages are shown in red color next corresponding fields, such as "Id is requied", "Name is required", "Email is required"</t>
  </si>
  <si>
    <t>PASSED</t>
  </si>
  <si>
    <t>2026, Aug-01</t>
  </si>
  <si>
    <t>Unhappy case - required fields</t>
  </si>
  <si>
    <t>Student form is open, a student record alreedy exists! E.g. SE123456 | Trần Thị Nghĩ | nghitt@gmail.com</t>
  </si>
  <si>
    <t>Test edit student successfully</t>
  </si>
  <si>
    <t>1. Click on an existing student in the right list, e.g SE123456
2. Change Name to a valid name: Trần Thị Nghĩ  
3. Change Email to a valid email: nghitt20@gmail.com
4. Click/Hit [Edit] button
Note: ID is in readonly status</t>
  </si>
  <si>
    <t>* The system raises the message: Update student SE123456 successfully
* ID is lock!</t>
  </si>
  <si>
    <t>ID: SE123456 (read only)
Name: Trần Thị Nghỉ
Email: nghitt20@gmail.com</t>
  </si>
  <si>
    <t>Happy case (edit function)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</si>
</sst>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8"/>
      <name val="Tahoma"/>
      <family val="2"/>
    </font>
    <font>
      <b/>
      <sz val="8"/>
      <name val="Tahoma"/>
      <family val="2"/>
    </font>
    <font>
      <u/>
      <sz val="11"/>
      <color theme="10"/>
      <name val="Calibri"/>
      <family val="2"/>
      <scheme val="minor"/>
    </font>
    <font>
      <b/>
      <sz val="8"/>
      <color rgb="FFFF0000"/>
      <name val="Tahoma"/>
      <family val="2"/>
    </font>
    <font>
      <b/>
      <sz val="8"/>
      <color indexed="8"/>
      <name val="Times New Roman"/>
      <family val="1"/>
    </font>
    <font>
      <b/>
      <sz val="8"/>
      <color rgb="FF0070C0"/>
      <name val="Tahoma"/>
      <family val="2"/>
    </font>
    <font>
      <sz val="10"/>
      <color theme="1"/>
      <name val="Calibri"/>
      <family val="2"/>
      <scheme val="minor"/>
    </font>
    <font>
      <b/>
      <u/>
      <sz val="10"/>
      <color indexed="12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b/>
      <sz val="16"/>
      <name val="Tahoma"/>
      <family val="2"/>
    </font>
    <font>
      <sz val="8"/>
      <color rgb="FFC00000"/>
      <name val="Tahoma"/>
      <family val="2"/>
    </font>
    <font>
      <sz val="10"/>
      <color rgb="FFC00000"/>
      <name val="Tahoma"/>
      <family val="2"/>
    </font>
    <font>
      <b/>
      <sz val="11"/>
      <name val="Tahoma"/>
      <family val="2"/>
    </font>
    <font>
      <sz val="11"/>
      <color rgb="FFC00000"/>
      <name val="Tahoma"/>
      <family val="2"/>
    </font>
    <font>
      <b/>
      <sz val="8"/>
      <color rgb="FFC00000"/>
      <name val="Tahoma"/>
      <family val="2"/>
    </font>
    <font>
      <b/>
      <sz val="8"/>
      <color theme="9" tint="-0.249977111117893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32"/>
      </patternFill>
    </fill>
    <fill>
      <patternFill patternType="solid">
        <fgColor theme="5" tint="0.59999389629810485"/>
        <bgColor indexed="26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4" fillId="0" borderId="0" applyNumberFormat="0" applyFill="0" applyBorder="0" applyAlignment="0" applyProtection="0"/>
  </cellStyleXfs>
  <cellXfs count="37">
    <xf numFmtId="0" fontId="0" fillId="0" borderId="0" xfId="0"/>
    <xf numFmtId="0" fontId="2" fillId="0" borderId="0" xfId="0" applyFont="1"/>
    <xf numFmtId="0" fontId="8" fillId="0" borderId="0" xfId="0" applyFont="1"/>
    <xf numFmtId="0" fontId="9" fillId="0" borderId="2" xfId="3" applyFont="1" applyFill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2" xfId="0" applyFont="1" applyBorder="1" applyAlignment="1">
      <alignment vertical="top" wrapText="1"/>
    </xf>
    <xf numFmtId="0" fontId="10" fillId="0" borderId="0" xfId="0" applyFont="1"/>
    <xf numFmtId="0" fontId="11" fillId="0" borderId="2" xfId="2" applyFont="1" applyBorder="1" applyAlignment="1">
      <alignment horizontal="left" vertical="top" wrapText="1"/>
    </xf>
    <xf numFmtId="0" fontId="10" fillId="0" borderId="2" xfId="2" applyFont="1" applyBorder="1" applyAlignment="1">
      <alignment horizontal="left" vertical="top" wrapText="1"/>
    </xf>
    <xf numFmtId="0" fontId="11" fillId="0" borderId="3" xfId="2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2" fontId="10" fillId="0" borderId="3" xfId="0" applyNumberFormat="1" applyFont="1" applyBorder="1" applyAlignment="1">
      <alignment vertical="top" wrapText="1"/>
    </xf>
    <xf numFmtId="0" fontId="3" fillId="4" borderId="1" xfId="2" applyFont="1" applyFill="1" applyBorder="1" applyAlignment="1">
      <alignment horizontal="center" vertical="center" wrapText="1"/>
    </xf>
    <xf numFmtId="0" fontId="13" fillId="2" borderId="1" xfId="2" applyFont="1" applyFill="1" applyBorder="1" applyAlignment="1">
      <alignment horizontal="left" vertical="top" wrapText="1"/>
    </xf>
    <xf numFmtId="0" fontId="13" fillId="3" borderId="1" xfId="0" applyFont="1" applyFill="1" applyBorder="1" applyAlignment="1">
      <alignment horizontal="left" vertical="top" wrapText="1"/>
    </xf>
    <xf numFmtId="0" fontId="13" fillId="3" borderId="1" xfId="0" applyFont="1" applyFill="1" applyBorder="1" applyAlignment="1">
      <alignment vertical="top" wrapText="1"/>
    </xf>
    <xf numFmtId="0" fontId="14" fillId="0" borderId="3" xfId="2" applyFont="1" applyBorder="1" applyAlignment="1">
      <alignment horizontal="left" vertical="top" wrapText="1"/>
    </xf>
    <xf numFmtId="16" fontId="13" fillId="3" borderId="1" xfId="0" applyNumberFormat="1" applyFont="1" applyFill="1" applyBorder="1" applyAlignment="1">
      <alignment horizontal="left" vertical="top" wrapText="1"/>
    </xf>
    <xf numFmtId="16" fontId="13" fillId="3" borderId="1" xfId="0" applyNumberFormat="1" applyFont="1" applyFill="1" applyBorder="1" applyAlignment="1">
      <alignment vertical="top" wrapText="1"/>
    </xf>
    <xf numFmtId="0" fontId="2" fillId="0" borderId="1" xfId="0" applyFont="1" applyBorder="1" applyAlignment="1">
      <alignment wrapText="1"/>
    </xf>
    <xf numFmtId="0" fontId="3" fillId="0" borderId="1" xfId="1" applyFont="1" applyBorder="1" applyAlignment="1">
      <alignment wrapText="1"/>
    </xf>
    <xf numFmtId="0" fontId="7" fillId="0" borderId="1" xfId="1" applyFont="1" applyBorder="1" applyAlignment="1">
      <alignment wrapText="1"/>
    </xf>
    <xf numFmtId="0" fontId="3" fillId="4" borderId="1" xfId="2" applyFont="1" applyFill="1" applyBorder="1" applyAlignment="1">
      <alignment horizontal="left" vertical="center" wrapText="1"/>
    </xf>
    <xf numFmtId="0" fontId="3" fillId="4" borderId="1" xfId="2" quotePrefix="1" applyFont="1" applyFill="1" applyBorder="1" applyAlignment="1">
      <alignment horizontal="left" vertical="center" wrapText="1"/>
    </xf>
    <xf numFmtId="0" fontId="10" fillId="0" borderId="3" xfId="0" quotePrefix="1" applyFont="1" applyBorder="1" applyAlignment="1">
      <alignment horizontal="left" vertical="top" wrapText="1"/>
    </xf>
    <xf numFmtId="0" fontId="3" fillId="4" borderId="1" xfId="2" quotePrefix="1" applyFont="1" applyFill="1" applyBorder="1" applyAlignment="1">
      <alignment horizontal="left" vertical="top" wrapText="1"/>
    </xf>
    <xf numFmtId="0" fontId="15" fillId="4" borderId="1" xfId="2" applyFont="1" applyFill="1" applyBorder="1" applyAlignment="1">
      <alignment horizontal="left" vertical="top" wrapText="1"/>
    </xf>
    <xf numFmtId="0" fontId="16" fillId="3" borderId="1" xfId="0" applyFont="1" applyFill="1" applyBorder="1" applyAlignment="1">
      <alignment horizontal="left" vertical="top" wrapText="1"/>
    </xf>
    <xf numFmtId="0" fontId="17" fillId="3" borderId="1" xfId="0" applyFont="1" applyFill="1" applyBorder="1" applyAlignment="1">
      <alignment horizontal="left" vertical="top" wrapText="1"/>
    </xf>
    <xf numFmtId="0" fontId="18" fillId="3" borderId="1" xfId="0" applyFont="1" applyFill="1" applyBorder="1" applyAlignment="1">
      <alignment horizontal="left" vertical="top" wrapText="1"/>
    </xf>
    <xf numFmtId="16" fontId="13" fillId="3" borderId="1" xfId="0" quotePrefix="1" applyNumberFormat="1" applyFont="1" applyFill="1" applyBorder="1" applyAlignment="1">
      <alignment horizontal="left" vertical="top" wrapText="1"/>
    </xf>
    <xf numFmtId="0" fontId="12" fillId="0" borderId="0" xfId="2" applyFont="1" applyAlignment="1">
      <alignment horizontal="center" vertical="top" wrapText="1"/>
    </xf>
    <xf numFmtId="0" fontId="5" fillId="0" borderId="1" xfId="1" applyFont="1" applyBorder="1" applyAlignment="1">
      <alignment horizontal="left" vertical="top" wrapText="1"/>
    </xf>
    <xf numFmtId="0" fontId="13" fillId="5" borderId="1" xfId="2" applyFont="1" applyFill="1" applyBorder="1" applyAlignment="1">
      <alignment horizontal="left" vertical="top" wrapText="1"/>
    </xf>
    <xf numFmtId="0" fontId="13" fillId="6" borderId="1" xfId="0" applyFont="1" applyFill="1" applyBorder="1" applyAlignment="1">
      <alignment horizontal="left" vertical="top" wrapText="1"/>
    </xf>
    <xf numFmtId="16" fontId="13" fillId="6" borderId="1" xfId="0" applyNumberFormat="1" applyFont="1" applyFill="1" applyBorder="1" applyAlignment="1">
      <alignment horizontal="left" vertical="top" wrapText="1"/>
    </xf>
    <xf numFmtId="0" fontId="2" fillId="6" borderId="0" xfId="0" applyFont="1" applyFill="1" applyAlignment="1">
      <alignment vertical="top" wrapText="1"/>
    </xf>
  </cellXfs>
  <cellStyles count="4">
    <cellStyle name="Hyperlink" xfId="3" builtinId="8"/>
    <cellStyle name="Normal" xfId="0" builtinId="0"/>
    <cellStyle name="Normal_Sheet1" xfId="2"/>
    <cellStyle name="Normal_Template_UnitTest Case_v0.9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26"/>
  <sheetViews>
    <sheetView tabSelected="1" zoomScale="70" zoomScaleNormal="70" workbookViewId="0">
      <selection activeCell="B8" sqref="B8"/>
    </sheetView>
  </sheetViews>
  <sheetFormatPr defaultColWidth="9" defaultRowHeight="10.199999999999999"/>
  <cols>
    <col min="1" max="1" width="8.77734375" style="1" customWidth="1"/>
    <col min="2" max="2" width="18.44140625" style="1" customWidth="1"/>
    <col min="3" max="3" width="20.88671875" style="1" customWidth="1"/>
    <col min="4" max="4" width="20.33203125" style="1" customWidth="1"/>
    <col min="5" max="5" width="15.5546875" style="1" customWidth="1"/>
    <col min="6" max="6" width="31.5546875" style="1" customWidth="1"/>
    <col min="7" max="7" width="10.44140625" style="1" customWidth="1"/>
    <col min="8" max="8" width="13" style="1" customWidth="1"/>
    <col min="9" max="9" width="17.21875" style="1" customWidth="1"/>
    <col min="10" max="16384" width="9" style="1"/>
  </cols>
  <sheetData>
    <row r="1" spans="1:9" ht="20.399999999999999">
      <c r="A1" s="31" t="s">
        <v>8</v>
      </c>
      <c r="B1" s="31"/>
      <c r="C1" s="31"/>
      <c r="D1" s="31"/>
      <c r="E1" s="31"/>
      <c r="F1" s="31"/>
      <c r="G1" s="31"/>
      <c r="H1" s="31"/>
      <c r="I1" s="31"/>
    </row>
    <row r="2" spans="1:9" ht="13.8">
      <c r="A2" s="2"/>
      <c r="B2" s="2"/>
      <c r="C2" s="3"/>
      <c r="D2" s="4" t="str">
        <f>"Pass: "&amp;COUNTIF($G$7:$G$943,"Pass")</f>
        <v>Pass: 0</v>
      </c>
      <c r="E2" s="4"/>
      <c r="F2" s="5" t="str">
        <f>"Untested: "&amp;COUNTIF($G$7:$G$943,"Untest")</f>
        <v>Untested: 0</v>
      </c>
      <c r="G2" s="2"/>
      <c r="H2" s="6"/>
      <c r="I2" s="6"/>
    </row>
    <row r="3" spans="1:9" ht="26.4">
      <c r="A3" s="7" t="s">
        <v>0</v>
      </c>
      <c r="B3" s="16" t="s">
        <v>13</v>
      </c>
      <c r="C3" s="8"/>
      <c r="D3" s="4" t="str">
        <f>"Fail: "&amp;COUNTIF($G$7:$G$943,"Fail")</f>
        <v>Fail: 0</v>
      </c>
      <c r="E3" s="4"/>
      <c r="F3" s="5" t="str">
        <f>"N/A: "&amp;COUNTIF($G$7:$G$943,"N/A")</f>
        <v>N/A: 0</v>
      </c>
      <c r="G3" s="2"/>
      <c r="H3" s="6"/>
      <c r="I3" s="6"/>
    </row>
    <row r="4" spans="1:9" ht="26.4">
      <c r="A4" s="9" t="s">
        <v>1</v>
      </c>
      <c r="B4" s="16" t="s">
        <v>14</v>
      </c>
      <c r="C4" s="9"/>
      <c r="D4" s="10" t="str">
        <f>"Percent Complete: "&amp;ROUND((COUNTIF($G$8:$G$943,"Pass")*100)/((COUNTA($A$8:$A$943)*5)-COUNTIF($G$7:$G$953,"N/A")),2)&amp;"%"</f>
        <v>Percent Complete: 0%</v>
      </c>
      <c r="E4" s="24"/>
      <c r="F4" s="11" t="str">
        <f>"Number of cases: "&amp;(COUNTA($A$7:$A$943))</f>
        <v>Number of cases: 20</v>
      </c>
      <c r="G4" s="2"/>
      <c r="H4" s="6"/>
      <c r="I4" s="6"/>
    </row>
    <row r="5" spans="1:9" ht="20.399999999999999">
      <c r="A5" s="12" t="s">
        <v>2</v>
      </c>
      <c r="B5" s="12" t="s">
        <v>3</v>
      </c>
      <c r="C5" s="12" t="s">
        <v>4</v>
      </c>
      <c r="D5" s="12" t="s">
        <v>37</v>
      </c>
      <c r="E5" s="12" t="s">
        <v>12</v>
      </c>
      <c r="F5" s="12" t="s">
        <v>5</v>
      </c>
      <c r="G5" s="12" t="s">
        <v>10</v>
      </c>
      <c r="H5" s="12" t="s">
        <v>9</v>
      </c>
      <c r="I5" s="12" t="s">
        <v>6</v>
      </c>
    </row>
    <row r="6" spans="1:9" ht="99" customHeight="1">
      <c r="A6" s="12" t="s">
        <v>34</v>
      </c>
      <c r="B6" s="22" t="s">
        <v>35</v>
      </c>
      <c r="C6" s="12" t="s">
        <v>36</v>
      </c>
      <c r="D6" s="23" t="s">
        <v>38</v>
      </c>
      <c r="E6" s="25" t="s">
        <v>39</v>
      </c>
      <c r="F6" s="26" t="s">
        <v>40</v>
      </c>
      <c r="G6" s="12" t="s">
        <v>43</v>
      </c>
      <c r="H6" s="12" t="s">
        <v>41</v>
      </c>
      <c r="I6" s="12" t="s">
        <v>42</v>
      </c>
    </row>
    <row r="7" spans="1:9" ht="70.2" customHeight="1">
      <c r="A7" s="13" t="s">
        <v>7</v>
      </c>
      <c r="B7" s="14" t="s">
        <v>44</v>
      </c>
      <c r="C7" s="14" t="s">
        <v>45</v>
      </c>
      <c r="D7" s="14" t="s">
        <v>47</v>
      </c>
      <c r="E7" s="14" t="s">
        <v>46</v>
      </c>
      <c r="F7" s="27" t="s">
        <v>48</v>
      </c>
      <c r="G7" s="29" t="s">
        <v>49</v>
      </c>
      <c r="H7" s="30" t="s">
        <v>50</v>
      </c>
      <c r="I7" s="28" t="s">
        <v>51</v>
      </c>
    </row>
    <row r="8" spans="1:9" s="36" customFormat="1" ht="120" customHeight="1">
      <c r="A8" s="33" t="s">
        <v>15</v>
      </c>
      <c r="B8" s="36" t="s">
        <v>53</v>
      </c>
      <c r="C8" s="34" t="s">
        <v>52</v>
      </c>
      <c r="D8" s="34" t="s">
        <v>54</v>
      </c>
      <c r="E8" s="34" t="s">
        <v>56</v>
      </c>
      <c r="F8" s="34" t="s">
        <v>55</v>
      </c>
      <c r="G8" s="29" t="s">
        <v>49</v>
      </c>
      <c r="H8" s="35" t="s">
        <v>50</v>
      </c>
      <c r="I8" s="34" t="s">
        <v>57</v>
      </c>
    </row>
    <row r="9" spans="1:9" ht="51.6" customHeight="1">
      <c r="A9" s="13" t="s">
        <v>16</v>
      </c>
      <c r="B9" s="14"/>
      <c r="C9" s="14"/>
      <c r="D9" s="14"/>
      <c r="E9" s="14"/>
      <c r="F9" s="14"/>
      <c r="G9" s="14" t="s">
        <v>11</v>
      </c>
      <c r="H9" s="17"/>
      <c r="I9" s="14"/>
    </row>
    <row r="10" spans="1:9" ht="51.6" customHeight="1">
      <c r="A10" s="13" t="s">
        <v>17</v>
      </c>
      <c r="B10" s="14"/>
      <c r="C10" s="15"/>
      <c r="D10" s="14"/>
      <c r="E10" s="14"/>
      <c r="F10" s="14"/>
      <c r="G10" s="14" t="s">
        <v>11</v>
      </c>
      <c r="H10" s="18"/>
      <c r="I10" s="14"/>
    </row>
    <row r="11" spans="1:9" ht="51.6" customHeight="1">
      <c r="A11" s="13" t="s">
        <v>18</v>
      </c>
      <c r="B11" s="14"/>
      <c r="C11" s="15"/>
      <c r="D11" s="14"/>
      <c r="E11" s="14"/>
      <c r="F11" s="14"/>
      <c r="G11" s="14" t="s">
        <v>11</v>
      </c>
      <c r="H11" s="18"/>
      <c r="I11" s="14"/>
    </row>
    <row r="12" spans="1:9" ht="51.6" customHeight="1">
      <c r="A12" s="13" t="s">
        <v>19</v>
      </c>
      <c r="B12" s="19"/>
      <c r="C12" s="19"/>
      <c r="D12" s="19"/>
      <c r="E12" s="19"/>
      <c r="F12" s="19"/>
      <c r="G12" s="19"/>
      <c r="H12" s="19"/>
      <c r="I12" s="19"/>
    </row>
    <row r="13" spans="1:9" ht="51.6" customHeight="1">
      <c r="A13" s="13" t="s">
        <v>20</v>
      </c>
      <c r="B13" s="20"/>
      <c r="C13" s="21"/>
      <c r="D13" s="19"/>
      <c r="E13" s="19"/>
      <c r="F13" s="19"/>
      <c r="G13" s="19"/>
      <c r="H13" s="19"/>
      <c r="I13" s="19"/>
    </row>
    <row r="14" spans="1:9" ht="51.6" customHeight="1">
      <c r="A14" s="13" t="s">
        <v>21</v>
      </c>
      <c r="B14" s="19"/>
      <c r="C14" s="32"/>
      <c r="D14" s="32"/>
      <c r="E14" s="19"/>
      <c r="F14" s="19"/>
      <c r="G14" s="19"/>
      <c r="H14" s="19"/>
      <c r="I14" s="19"/>
    </row>
    <row r="15" spans="1:9" ht="51.6" customHeight="1">
      <c r="A15" s="13" t="s">
        <v>22</v>
      </c>
      <c r="B15" s="19"/>
      <c r="C15" s="19"/>
      <c r="D15" s="19"/>
      <c r="E15" s="19"/>
      <c r="F15" s="19"/>
      <c r="G15" s="19"/>
      <c r="H15" s="19"/>
      <c r="I15" s="19"/>
    </row>
    <row r="16" spans="1:9" ht="51.6" customHeight="1">
      <c r="A16" s="13" t="s">
        <v>23</v>
      </c>
      <c r="B16" s="19"/>
      <c r="C16" s="19"/>
      <c r="D16" s="19"/>
      <c r="E16" s="19"/>
      <c r="F16" s="19"/>
      <c r="G16" s="19"/>
      <c r="H16" s="19"/>
      <c r="I16" s="19"/>
    </row>
    <row r="17" spans="1:9" ht="51.6" customHeight="1">
      <c r="A17" s="13" t="s">
        <v>24</v>
      </c>
      <c r="B17" s="19"/>
      <c r="C17" s="19"/>
      <c r="D17" s="19"/>
      <c r="E17" s="19"/>
      <c r="F17" s="19"/>
      <c r="G17" s="19"/>
      <c r="H17" s="19"/>
      <c r="I17" s="19"/>
    </row>
    <row r="18" spans="1:9" ht="51.6" customHeight="1">
      <c r="A18" s="13" t="s">
        <v>25</v>
      </c>
      <c r="B18" s="19"/>
      <c r="C18" s="19"/>
      <c r="D18" s="19"/>
      <c r="E18" s="19"/>
      <c r="F18" s="19"/>
      <c r="G18" s="19"/>
      <c r="H18" s="19"/>
      <c r="I18" s="19"/>
    </row>
    <row r="19" spans="1:9" ht="51.6" customHeight="1">
      <c r="A19" s="13" t="s">
        <v>26</v>
      </c>
      <c r="B19" s="19"/>
      <c r="C19" s="19"/>
      <c r="D19" s="19"/>
      <c r="E19" s="19"/>
      <c r="F19" s="19"/>
      <c r="G19" s="19"/>
      <c r="H19" s="19"/>
      <c r="I19" s="19"/>
    </row>
    <row r="20" spans="1:9" ht="51.6" customHeight="1">
      <c r="A20" s="13" t="s">
        <v>27</v>
      </c>
      <c r="B20" s="19"/>
      <c r="C20" s="19"/>
      <c r="D20" s="19"/>
      <c r="E20" s="19"/>
      <c r="F20" s="19"/>
      <c r="G20" s="19"/>
      <c r="H20" s="19"/>
      <c r="I20" s="19"/>
    </row>
    <row r="21" spans="1:9" ht="51.6" customHeight="1">
      <c r="A21" s="13" t="s">
        <v>28</v>
      </c>
      <c r="B21" s="19"/>
      <c r="C21" s="19"/>
      <c r="D21" s="19"/>
      <c r="E21" s="19"/>
      <c r="F21" s="19"/>
      <c r="G21" s="19"/>
      <c r="H21" s="19"/>
      <c r="I21" s="19"/>
    </row>
    <row r="22" spans="1:9" ht="51.6" customHeight="1">
      <c r="A22" s="13" t="s">
        <v>29</v>
      </c>
      <c r="B22" s="19"/>
      <c r="C22" s="19"/>
      <c r="D22" s="19"/>
      <c r="E22" s="19"/>
      <c r="F22" s="19"/>
      <c r="G22" s="19"/>
      <c r="H22" s="19"/>
      <c r="I22" s="19"/>
    </row>
    <row r="23" spans="1:9" ht="51.6" customHeight="1">
      <c r="A23" s="13" t="s">
        <v>30</v>
      </c>
      <c r="B23" s="19"/>
      <c r="C23" s="19"/>
      <c r="D23" s="19"/>
      <c r="E23" s="19"/>
      <c r="F23" s="19"/>
      <c r="G23" s="19"/>
      <c r="H23" s="19"/>
      <c r="I23" s="19"/>
    </row>
    <row r="24" spans="1:9" ht="51.6" customHeight="1">
      <c r="A24" s="13" t="s">
        <v>31</v>
      </c>
      <c r="B24" s="19"/>
      <c r="C24" s="19"/>
      <c r="D24" s="19"/>
      <c r="E24" s="19"/>
      <c r="F24" s="19"/>
      <c r="G24" s="19"/>
      <c r="H24" s="19"/>
      <c r="I24" s="19"/>
    </row>
    <row r="25" spans="1:9" ht="51.6" customHeight="1">
      <c r="A25" s="13" t="s">
        <v>32</v>
      </c>
      <c r="B25" s="19"/>
      <c r="C25" s="19"/>
      <c r="D25" s="19"/>
      <c r="E25" s="19"/>
      <c r="F25" s="19"/>
      <c r="G25" s="19"/>
      <c r="H25" s="19"/>
      <c r="I25" s="19"/>
    </row>
    <row r="26" spans="1:9" ht="51.6" customHeight="1">
      <c r="A26" s="13" t="s">
        <v>33</v>
      </c>
      <c r="B26" s="19"/>
      <c r="C26" s="19"/>
      <c r="D26" s="19"/>
      <c r="E26" s="19"/>
      <c r="F26" s="19"/>
      <c r="G26" s="19"/>
      <c r="H26" s="19"/>
      <c r="I26" s="19"/>
    </row>
  </sheetData>
  <mergeCells count="2">
    <mergeCell ref="A1:I1"/>
    <mergeCell ref="C14:D14"/>
  </mergeCells>
  <dataValidations count="1">
    <dataValidation type="list" operator="equal" allowBlank="1" sqref="G7:G11">
      <formula1>"Pass,Fail,Not Run,N/A"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P</dc:creator>
  <cp:lastModifiedBy>giao.lang</cp:lastModifiedBy>
  <dcterms:created xsi:type="dcterms:W3CDTF">2023-02-26T13:32:36Z</dcterms:created>
  <dcterms:modified xsi:type="dcterms:W3CDTF">2026-07-06T02:57:37Z</dcterms:modified>
</cp:coreProperties>
</file>